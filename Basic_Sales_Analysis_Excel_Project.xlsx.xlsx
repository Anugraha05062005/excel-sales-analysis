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th\Documents\"/>
    </mc:Choice>
  </mc:AlternateContent>
  <xr:revisionPtr revIDLastSave="0" documentId="13_ncr:1_{9C37392C-D24B-46FD-98E0-1D17973592CF}" xr6:coauthVersionLast="47" xr6:coauthVersionMax="47" xr10:uidLastSave="{00000000-0000-0000-0000-000000000000}"/>
  <bookViews>
    <workbookView xWindow="-108" yWindow="-108" windowWidth="23256" windowHeight="12456" xr2:uid="{55FAAE18-5E17-4EC2-A35B-ADCDB91B98B0}"/>
  </bookViews>
  <sheets>
    <sheet name="data analysis" sheetId="1" r:id="rId1"/>
    <sheet name="final ins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F27" i="1"/>
  <c r="F17" i="1"/>
  <c r="F12" i="1"/>
  <c r="F26" i="1"/>
  <c r="F21" i="1"/>
  <c r="F18" i="1"/>
  <c r="F8" i="1"/>
  <c r="F3" i="1"/>
  <c r="F22" i="1"/>
  <c r="F16" i="1"/>
  <c r="F13" i="1"/>
  <c r="F28" i="1"/>
  <c r="F2" i="1"/>
  <c r="F31" i="1"/>
  <c r="F19" i="1"/>
  <c r="F14" i="1"/>
  <c r="F10" i="1"/>
  <c r="F9" i="1"/>
  <c r="F6" i="1"/>
  <c r="F23" i="1"/>
  <c r="F29" i="1"/>
  <c r="F15" i="1"/>
  <c r="F24" i="1"/>
  <c r="F11" i="1"/>
  <c r="F30" i="1"/>
  <c r="F4" i="1"/>
  <c r="F7" i="1"/>
  <c r="F20" i="1"/>
  <c r="F5" i="1"/>
  <c r="F25" i="1"/>
  <c r="F32" i="1" l="1"/>
</calcChain>
</file>

<file path=xl/sharedStrings.xml><?xml version="1.0" encoding="utf-8"?>
<sst xmlns="http://schemas.openxmlformats.org/spreadsheetml/2006/main" count="79" uniqueCount="40">
  <si>
    <t>Date</t>
  </si>
  <si>
    <t>Product</t>
  </si>
  <si>
    <t>Category</t>
  </si>
  <si>
    <t>Quantity</t>
  </si>
  <si>
    <t>Price</t>
  </si>
  <si>
    <t>Total</t>
  </si>
  <si>
    <t>Computer</t>
  </si>
  <si>
    <t>Kurthi</t>
  </si>
  <si>
    <t>Facewash</t>
  </si>
  <si>
    <t>Jean</t>
  </si>
  <si>
    <t>Hairoil</t>
  </si>
  <si>
    <t>Shampoo</t>
  </si>
  <si>
    <t>Mouse</t>
  </si>
  <si>
    <t>Laptop</t>
  </si>
  <si>
    <t>Pencil</t>
  </si>
  <si>
    <t>Serum</t>
  </si>
  <si>
    <t>Laptop skin</t>
  </si>
  <si>
    <t>Notebook</t>
  </si>
  <si>
    <t>Bag</t>
  </si>
  <si>
    <t>Calculator</t>
  </si>
  <si>
    <t>Charger</t>
  </si>
  <si>
    <t>USB cable</t>
  </si>
  <si>
    <t>Tshirt</t>
  </si>
  <si>
    <t>Soap</t>
  </si>
  <si>
    <t>Colgate</t>
  </si>
  <si>
    <t>Shawl</t>
  </si>
  <si>
    <t>Waterbottle</t>
  </si>
  <si>
    <t>Weshti</t>
  </si>
  <si>
    <t>electronics</t>
  </si>
  <si>
    <t>dress</t>
  </si>
  <si>
    <t>skincare</t>
  </si>
  <si>
    <t>haircare</t>
  </si>
  <si>
    <t>stationary</t>
  </si>
  <si>
    <t>Total Sales</t>
  </si>
  <si>
    <r>
      <t>Electronics</t>
    </r>
    <r>
      <rPr>
        <sz val="11"/>
        <color theme="1"/>
        <rFont val="Calibri"/>
        <family val="2"/>
        <scheme val="minor"/>
      </rPr>
      <t xml:space="preserve"> is the highest revenue-generating category, contributing the majority of total sales.</t>
    </r>
  </si>
  <si>
    <t>Stationery products sell in higher quantities but generate lower revenue due to lower prices.</t>
  </si>
  <si>
    <t>The business relies heavily on electronics sales, which suggests focusing on inventory management and pricing strategies.</t>
  </si>
  <si>
    <t>Increasing promotion of mid-range products could help balance revenue across categories.</t>
  </si>
  <si>
    <t>FINAL INSIGHTS</t>
  </si>
  <si>
    <r>
      <t>The total sales for the given period is</t>
    </r>
    <r>
      <rPr>
        <b/>
        <sz val="11"/>
        <color theme="1"/>
        <rFont val="Calibri"/>
        <family val="2"/>
        <scheme val="minor"/>
      </rPr>
      <t xml:space="preserve"> ₹86,235.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</si>
</sst>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3648293963254"/>
          <c:y val="2.8194444444444446E-2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analysis'!$I$1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'data analysis'!$H$2:$H$6</c:f>
              <c:strCache>
                <c:ptCount val="5"/>
                <c:pt idx="0">
                  <c:v>electronics</c:v>
                </c:pt>
                <c:pt idx="1">
                  <c:v>stationary</c:v>
                </c:pt>
                <c:pt idx="2">
                  <c:v>dress</c:v>
                </c:pt>
                <c:pt idx="3">
                  <c:v>skincare</c:v>
                </c:pt>
                <c:pt idx="4">
                  <c:v>haircare</c:v>
                </c:pt>
              </c:strCache>
            </c:strRef>
          </c:cat>
          <c:val>
            <c:numRef>
              <c:f>'data analysis'!$I$2:$I$6</c:f>
              <c:numCache>
                <c:formatCode>General</c:formatCode>
                <c:ptCount val="5"/>
                <c:pt idx="0">
                  <c:v>63600</c:v>
                </c:pt>
                <c:pt idx="1">
                  <c:v>7805</c:v>
                </c:pt>
                <c:pt idx="2">
                  <c:v>6200</c:v>
                </c:pt>
                <c:pt idx="3">
                  <c:v>5530</c:v>
                </c:pt>
                <c:pt idx="4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4-4C11-881E-864B812DC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6962815"/>
        <c:axId val="1046961375"/>
      </c:barChart>
      <c:catAx>
        <c:axId val="10469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61375"/>
        <c:crosses val="autoZero"/>
        <c:auto val="1"/>
        <c:lblAlgn val="ctr"/>
        <c:lblOffset val="100"/>
        <c:noMultiLvlLbl val="0"/>
      </c:catAx>
      <c:valAx>
        <c:axId val="104696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analysis'!$I$1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analysis'!$H$2:$H$6</c:f>
              <c:strCache>
                <c:ptCount val="5"/>
                <c:pt idx="0">
                  <c:v>electronics</c:v>
                </c:pt>
                <c:pt idx="1">
                  <c:v>stationary</c:v>
                </c:pt>
                <c:pt idx="2">
                  <c:v>dress</c:v>
                </c:pt>
                <c:pt idx="3">
                  <c:v>skincare</c:v>
                </c:pt>
                <c:pt idx="4">
                  <c:v>haircare</c:v>
                </c:pt>
              </c:strCache>
            </c:strRef>
          </c:cat>
          <c:val>
            <c:numRef>
              <c:f>'data analysis'!$I$2:$I$6</c:f>
              <c:numCache>
                <c:formatCode>General</c:formatCode>
                <c:ptCount val="5"/>
                <c:pt idx="0">
                  <c:v>63600</c:v>
                </c:pt>
                <c:pt idx="1">
                  <c:v>7805</c:v>
                </c:pt>
                <c:pt idx="2">
                  <c:v>6200</c:v>
                </c:pt>
                <c:pt idx="3">
                  <c:v>5530</c:v>
                </c:pt>
                <c:pt idx="4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6-4349-BFFF-8570F4A6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1</xdr:row>
      <xdr:rowOff>15240</xdr:rowOff>
    </xdr:from>
    <xdr:to>
      <xdr:col>16</xdr:col>
      <xdr:colOff>594360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A5567-6892-746A-E07B-37DAB17FF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17</xdr:row>
      <xdr:rowOff>0</xdr:rowOff>
    </xdr:from>
    <xdr:to>
      <xdr:col>17</xdr:col>
      <xdr:colOff>22860</xdr:colOff>
      <xdr:row>31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255DA-9D89-6C31-3552-F576D5775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114F7-52F8-48E6-AAB9-F0DB8AFB5D48}" name="Table1" displayName="Table1" ref="A1:F32" totalsRowCount="1" dataDxfId="8">
  <autoFilter ref="A1:F31" xr:uid="{042114F7-52F8-48E6-AAB9-F0DB8AFB5D48}"/>
  <sortState xmlns:xlrd2="http://schemas.microsoft.com/office/spreadsheetml/2017/richdata2" ref="A2:F31">
    <sortCondition descending="1" ref="D1:D31"/>
  </sortState>
  <tableColumns count="6">
    <tableColumn id="1" xr3:uid="{E5339333-FE60-434A-93E9-C205DE5F3BCE}" name="Date" dataDxfId="7" totalsRowDxfId="3"/>
    <tableColumn id="2" xr3:uid="{F9DDEACD-04E9-4295-AAAA-9F18B31B58F4}" name="Product"/>
    <tableColumn id="3" xr3:uid="{85BD234E-4B08-4385-BB28-15E8120E1F7F}" name="Category"/>
    <tableColumn id="4" xr3:uid="{FAB342B5-CCA0-4B50-913F-9E26F902D97C}" name="Quantity" dataDxfId="6" totalsRowDxfId="2"/>
    <tableColumn id="5" xr3:uid="{4E27800C-2CEC-435E-A55D-7B02B00D70B2}" name="Price" dataDxfId="5" totalsRowDxfId="1"/>
    <tableColumn id="6" xr3:uid="{85DBFB05-31A3-4806-8B37-2B92D774161A}" name="Total" totalsRowFunction="sum" dataDxfId="4" totalsRowDxfId="0">
      <calculatedColumnFormula>E2*D2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6FA63B-7AAE-4E91-A503-735025385C9B}" name="Table2" displayName="Table2" ref="H1:I6" totalsRowShown="0">
  <autoFilter ref="H1:I6" xr:uid="{AC6FA63B-7AAE-4E91-A503-735025385C9B}"/>
  <sortState xmlns:xlrd2="http://schemas.microsoft.com/office/spreadsheetml/2017/richdata2" ref="H2:I6">
    <sortCondition descending="1" ref="I1:I6"/>
  </sortState>
  <tableColumns count="2">
    <tableColumn id="1" xr3:uid="{BAE8354D-4F53-4497-B9BB-C3B85193EEA0}" name="Category"/>
    <tableColumn id="2" xr3:uid="{75B1EB43-6927-476F-BED3-A74A8933EF35}" name="Total Sales">
      <calculatedColumnFormula>SUMIF(C:C,H2,F:F)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A25E-F6A5-4425-8DC0-6DAF43568C83}">
  <dimension ref="A1:I32"/>
  <sheetViews>
    <sheetView tabSelected="1" zoomScale="62" workbookViewId="0">
      <selection activeCell="I30" sqref="I30"/>
    </sheetView>
  </sheetViews>
  <sheetFormatPr defaultRowHeight="14.4" x14ac:dyDescent="0.3"/>
  <cols>
    <col min="1" max="1" width="10.88671875" bestFit="1" customWidth="1"/>
    <col min="2" max="2" width="11" bestFit="1" customWidth="1"/>
    <col min="3" max="3" width="10.44140625" customWidth="1"/>
    <col min="4" max="4" width="10.21875" style="2" customWidth="1"/>
    <col min="5" max="5" width="7" style="2" customWidth="1"/>
    <col min="6" max="6" width="10.6640625" bestFit="1" customWidth="1"/>
    <col min="8" max="8" width="10.44140625" customWidth="1"/>
    <col min="9" max="9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H1" t="s">
        <v>2</v>
      </c>
      <c r="I1" t="s">
        <v>33</v>
      </c>
    </row>
    <row r="2" spans="1:9" x14ac:dyDescent="0.3">
      <c r="A2" s="1">
        <v>46036</v>
      </c>
      <c r="B2" t="s">
        <v>12</v>
      </c>
      <c r="C2" t="s">
        <v>28</v>
      </c>
      <c r="D2" s="2">
        <v>24</v>
      </c>
      <c r="E2" s="2">
        <v>100</v>
      </c>
      <c r="F2" s="2">
        <f t="shared" ref="F2:F31" si="0">E2*D2</f>
        <v>2400</v>
      </c>
      <c r="H2" t="s">
        <v>28</v>
      </c>
      <c r="I2">
        <f>SUMIF(C:C,H2,F:F)</f>
        <v>63600</v>
      </c>
    </row>
    <row r="3" spans="1:9" x14ac:dyDescent="0.3">
      <c r="A3" s="1">
        <v>46031</v>
      </c>
      <c r="B3" t="s">
        <v>14</v>
      </c>
      <c r="C3" t="s">
        <v>32</v>
      </c>
      <c r="D3" s="2">
        <v>20</v>
      </c>
      <c r="E3" s="2">
        <v>5</v>
      </c>
      <c r="F3" s="2">
        <f t="shared" si="0"/>
        <v>100</v>
      </c>
      <c r="H3" t="s">
        <v>32</v>
      </c>
      <c r="I3">
        <f>SUMIF(C:C,H3,F:F)</f>
        <v>7805</v>
      </c>
    </row>
    <row r="4" spans="1:9" x14ac:dyDescent="0.3">
      <c r="A4" s="1">
        <v>46049</v>
      </c>
      <c r="B4" t="s">
        <v>13</v>
      </c>
      <c r="C4" t="s">
        <v>28</v>
      </c>
      <c r="D4" s="2">
        <v>19</v>
      </c>
      <c r="E4" s="2">
        <v>1000</v>
      </c>
      <c r="F4" s="2">
        <f t="shared" si="0"/>
        <v>19000</v>
      </c>
      <c r="H4" t="s">
        <v>29</v>
      </c>
      <c r="I4">
        <f>SUMIF(C:C,H4,F:F)</f>
        <v>6200</v>
      </c>
    </row>
    <row r="5" spans="1:9" x14ac:dyDescent="0.3">
      <c r="A5" s="1">
        <v>46052</v>
      </c>
      <c r="B5" t="s">
        <v>26</v>
      </c>
      <c r="C5" t="s">
        <v>32</v>
      </c>
      <c r="D5" s="2">
        <v>13</v>
      </c>
      <c r="E5" s="2">
        <v>20</v>
      </c>
      <c r="F5" s="2">
        <f t="shared" si="0"/>
        <v>260</v>
      </c>
      <c r="H5" t="s">
        <v>30</v>
      </c>
      <c r="I5">
        <f>SUMIF(C:C,H5,F:F)</f>
        <v>5530</v>
      </c>
    </row>
    <row r="6" spans="1:9" x14ac:dyDescent="0.3">
      <c r="A6" s="1">
        <v>46042</v>
      </c>
      <c r="B6" t="s">
        <v>22</v>
      </c>
      <c r="C6" t="s">
        <v>29</v>
      </c>
      <c r="D6" s="2">
        <v>10</v>
      </c>
      <c r="E6" s="2">
        <v>200</v>
      </c>
      <c r="F6" s="2">
        <f t="shared" si="0"/>
        <v>2000</v>
      </c>
      <c r="H6" t="s">
        <v>31</v>
      </c>
      <c r="I6">
        <f>SUMIF(C:C,H6,F:F)</f>
        <v>3100</v>
      </c>
    </row>
    <row r="7" spans="1:9" x14ac:dyDescent="0.3">
      <c r="A7" s="1">
        <v>46050</v>
      </c>
      <c r="B7" t="s">
        <v>6</v>
      </c>
      <c r="C7" t="s">
        <v>28</v>
      </c>
      <c r="D7" s="2">
        <v>10</v>
      </c>
      <c r="E7" s="2">
        <v>2000</v>
      </c>
      <c r="F7" s="2">
        <f t="shared" si="0"/>
        <v>20000</v>
      </c>
    </row>
    <row r="8" spans="1:9" x14ac:dyDescent="0.3">
      <c r="A8" s="1">
        <v>46030</v>
      </c>
      <c r="B8" t="s">
        <v>9</v>
      </c>
      <c r="C8" t="s">
        <v>29</v>
      </c>
      <c r="D8" s="2">
        <v>9</v>
      </c>
      <c r="E8" s="2">
        <v>200</v>
      </c>
      <c r="F8" s="2">
        <f t="shared" si="0"/>
        <v>1800</v>
      </c>
    </row>
    <row r="9" spans="1:9" x14ac:dyDescent="0.3">
      <c r="A9" s="1">
        <v>46041</v>
      </c>
      <c r="B9" t="s">
        <v>13</v>
      </c>
      <c r="C9" t="s">
        <v>28</v>
      </c>
      <c r="D9" s="2">
        <v>9</v>
      </c>
      <c r="E9" s="2">
        <v>1000</v>
      </c>
      <c r="F9" s="2">
        <f t="shared" si="0"/>
        <v>9000</v>
      </c>
    </row>
    <row r="10" spans="1:9" x14ac:dyDescent="0.3">
      <c r="A10" s="1">
        <v>46040</v>
      </c>
      <c r="B10" t="s">
        <v>21</v>
      </c>
      <c r="C10" t="s">
        <v>28</v>
      </c>
      <c r="D10" s="2">
        <v>8</v>
      </c>
      <c r="E10" s="2">
        <v>200</v>
      </c>
      <c r="F10" s="2">
        <f t="shared" si="0"/>
        <v>1600</v>
      </c>
    </row>
    <row r="11" spans="1:9" x14ac:dyDescent="0.3">
      <c r="A11" s="1">
        <v>46047</v>
      </c>
      <c r="B11" t="s">
        <v>25</v>
      </c>
      <c r="C11" t="s">
        <v>29</v>
      </c>
      <c r="D11" s="2">
        <v>8</v>
      </c>
      <c r="E11" s="2">
        <v>200</v>
      </c>
      <c r="F11" s="2">
        <f t="shared" si="0"/>
        <v>1600</v>
      </c>
    </row>
    <row r="12" spans="1:9" x14ac:dyDescent="0.3">
      <c r="A12" s="1">
        <v>46026</v>
      </c>
      <c r="B12" t="s">
        <v>13</v>
      </c>
      <c r="C12" t="s">
        <v>28</v>
      </c>
      <c r="D12" s="2">
        <v>7</v>
      </c>
      <c r="E12" s="2">
        <v>1000</v>
      </c>
      <c r="F12" s="2">
        <f t="shared" si="0"/>
        <v>7000</v>
      </c>
    </row>
    <row r="13" spans="1:9" x14ac:dyDescent="0.3">
      <c r="A13" s="1">
        <v>46034</v>
      </c>
      <c r="B13" t="s">
        <v>14</v>
      </c>
      <c r="C13" t="s">
        <v>32</v>
      </c>
      <c r="D13" s="2">
        <v>7</v>
      </c>
      <c r="E13" s="2">
        <v>5</v>
      </c>
      <c r="F13" s="2">
        <f t="shared" si="0"/>
        <v>35</v>
      </c>
    </row>
    <row r="14" spans="1:9" x14ac:dyDescent="0.3">
      <c r="A14" s="1">
        <v>46039</v>
      </c>
      <c r="B14" t="s">
        <v>20</v>
      </c>
      <c r="C14" t="s">
        <v>28</v>
      </c>
      <c r="D14" s="2">
        <v>7</v>
      </c>
      <c r="E14" s="2">
        <v>100</v>
      </c>
      <c r="F14" s="2">
        <f t="shared" si="0"/>
        <v>700</v>
      </c>
    </row>
    <row r="15" spans="1:9" x14ac:dyDescent="0.3">
      <c r="A15" s="1">
        <v>46045</v>
      </c>
      <c r="B15" t="s">
        <v>24</v>
      </c>
      <c r="C15" t="s">
        <v>30</v>
      </c>
      <c r="D15" s="2">
        <v>7</v>
      </c>
      <c r="E15" s="2">
        <v>90</v>
      </c>
      <c r="F15" s="2">
        <f t="shared" si="0"/>
        <v>630</v>
      </c>
    </row>
    <row r="16" spans="1:9" x14ac:dyDescent="0.3">
      <c r="A16" s="1">
        <v>46033</v>
      </c>
      <c r="B16" t="s">
        <v>16</v>
      </c>
      <c r="C16" t="s">
        <v>28</v>
      </c>
      <c r="D16" s="2">
        <v>6</v>
      </c>
      <c r="E16" s="2">
        <v>100</v>
      </c>
      <c r="F16" s="2">
        <f t="shared" si="0"/>
        <v>600</v>
      </c>
    </row>
    <row r="17" spans="1:6" x14ac:dyDescent="0.3">
      <c r="A17" s="1">
        <v>46025</v>
      </c>
      <c r="B17" t="s">
        <v>8</v>
      </c>
      <c r="C17" t="s">
        <v>30</v>
      </c>
      <c r="D17" s="2">
        <v>5</v>
      </c>
      <c r="E17" s="2">
        <v>500</v>
      </c>
      <c r="F17" s="2">
        <f t="shared" si="0"/>
        <v>2500</v>
      </c>
    </row>
    <row r="18" spans="1:6" x14ac:dyDescent="0.3">
      <c r="A18" s="1">
        <v>46029</v>
      </c>
      <c r="B18" t="s">
        <v>10</v>
      </c>
      <c r="C18" t="s">
        <v>31</v>
      </c>
      <c r="D18" s="2">
        <v>5</v>
      </c>
      <c r="E18" s="2">
        <v>300</v>
      </c>
      <c r="F18" s="2">
        <f t="shared" si="0"/>
        <v>1500</v>
      </c>
    </row>
    <row r="19" spans="1:6" x14ac:dyDescent="0.3">
      <c r="A19" s="1">
        <v>46038</v>
      </c>
      <c r="B19" t="s">
        <v>19</v>
      </c>
      <c r="C19" t="s">
        <v>32</v>
      </c>
      <c r="D19" s="2">
        <v>5</v>
      </c>
      <c r="E19" s="2">
        <v>900</v>
      </c>
      <c r="F19" s="2">
        <f t="shared" si="0"/>
        <v>4500</v>
      </c>
    </row>
    <row r="20" spans="1:6" x14ac:dyDescent="0.3">
      <c r="A20" s="1">
        <v>46051</v>
      </c>
      <c r="B20" t="s">
        <v>18</v>
      </c>
      <c r="C20" t="s">
        <v>32</v>
      </c>
      <c r="D20" s="2">
        <v>5</v>
      </c>
      <c r="E20" s="2">
        <v>500</v>
      </c>
      <c r="F20" s="2">
        <f t="shared" si="0"/>
        <v>2500</v>
      </c>
    </row>
    <row r="21" spans="1:6" x14ac:dyDescent="0.3">
      <c r="A21" s="1">
        <v>46028</v>
      </c>
      <c r="B21" t="s">
        <v>11</v>
      </c>
      <c r="C21" t="s">
        <v>31</v>
      </c>
      <c r="D21" s="2">
        <v>4</v>
      </c>
      <c r="E21" s="2">
        <v>400</v>
      </c>
      <c r="F21" s="2">
        <f t="shared" si="0"/>
        <v>1600</v>
      </c>
    </row>
    <row r="22" spans="1:6" x14ac:dyDescent="0.3">
      <c r="A22" s="1">
        <v>46032</v>
      </c>
      <c r="B22" t="s">
        <v>15</v>
      </c>
      <c r="C22" t="s">
        <v>30</v>
      </c>
      <c r="D22" s="2">
        <v>4</v>
      </c>
      <c r="E22" s="2">
        <v>500</v>
      </c>
      <c r="F22" s="2">
        <f t="shared" si="0"/>
        <v>2000</v>
      </c>
    </row>
    <row r="23" spans="1:6" x14ac:dyDescent="0.3">
      <c r="A23" s="1">
        <v>46043</v>
      </c>
      <c r="B23" t="s">
        <v>27</v>
      </c>
      <c r="C23" t="s">
        <v>29</v>
      </c>
      <c r="D23" s="2">
        <v>4</v>
      </c>
      <c r="E23" s="2">
        <v>100</v>
      </c>
      <c r="F23" s="2">
        <f t="shared" si="0"/>
        <v>400</v>
      </c>
    </row>
    <row r="24" spans="1:6" x14ac:dyDescent="0.3">
      <c r="A24" s="1">
        <v>46046</v>
      </c>
      <c r="B24" t="s">
        <v>26</v>
      </c>
      <c r="C24" t="s">
        <v>32</v>
      </c>
      <c r="D24" s="2">
        <v>4</v>
      </c>
      <c r="E24" s="2">
        <v>20</v>
      </c>
      <c r="F24" s="2">
        <f t="shared" si="0"/>
        <v>80</v>
      </c>
    </row>
    <row r="25" spans="1:6" x14ac:dyDescent="0.3">
      <c r="A25" s="1">
        <v>46023</v>
      </c>
      <c r="B25" t="s">
        <v>6</v>
      </c>
      <c r="C25" t="s">
        <v>28</v>
      </c>
      <c r="D25" s="2">
        <v>3</v>
      </c>
      <c r="E25" s="2">
        <v>1000</v>
      </c>
      <c r="F25" s="2">
        <f t="shared" si="0"/>
        <v>3000</v>
      </c>
    </row>
    <row r="26" spans="1:6" x14ac:dyDescent="0.3">
      <c r="A26" s="1">
        <v>46027</v>
      </c>
      <c r="B26" t="s">
        <v>12</v>
      </c>
      <c r="C26" t="s">
        <v>28</v>
      </c>
      <c r="D26" s="2">
        <v>3</v>
      </c>
      <c r="E26" s="2">
        <v>100</v>
      </c>
      <c r="F26" s="2">
        <f t="shared" si="0"/>
        <v>300</v>
      </c>
    </row>
    <row r="27" spans="1:6" x14ac:dyDescent="0.3">
      <c r="A27" s="1">
        <v>46024</v>
      </c>
      <c r="B27" t="s">
        <v>7</v>
      </c>
      <c r="C27" t="s">
        <v>29</v>
      </c>
      <c r="D27" s="2">
        <v>2</v>
      </c>
      <c r="E27" s="2">
        <v>200</v>
      </c>
      <c r="F27" s="2">
        <f t="shared" si="0"/>
        <v>400</v>
      </c>
    </row>
    <row r="28" spans="1:6" x14ac:dyDescent="0.3">
      <c r="A28" s="1">
        <v>46035</v>
      </c>
      <c r="B28" t="s">
        <v>17</v>
      </c>
      <c r="C28" t="s">
        <v>32</v>
      </c>
      <c r="D28" s="2">
        <v>2</v>
      </c>
      <c r="E28" s="2">
        <v>10</v>
      </c>
      <c r="F28" s="2">
        <f t="shared" si="0"/>
        <v>20</v>
      </c>
    </row>
    <row r="29" spans="1:6" x14ac:dyDescent="0.3">
      <c r="A29" s="1">
        <v>46044</v>
      </c>
      <c r="B29" t="s">
        <v>23</v>
      </c>
      <c r="C29" t="s">
        <v>30</v>
      </c>
      <c r="D29" s="2">
        <v>2</v>
      </c>
      <c r="E29" s="2">
        <v>200</v>
      </c>
      <c r="F29" s="2">
        <f t="shared" si="0"/>
        <v>400</v>
      </c>
    </row>
    <row r="30" spans="1:6" x14ac:dyDescent="0.3">
      <c r="A30" s="1">
        <v>46048</v>
      </c>
      <c r="B30" t="s">
        <v>14</v>
      </c>
      <c r="C30" t="s">
        <v>32</v>
      </c>
      <c r="D30" s="2">
        <v>2</v>
      </c>
      <c r="E30" s="2">
        <v>5</v>
      </c>
      <c r="F30" s="2">
        <f t="shared" si="0"/>
        <v>10</v>
      </c>
    </row>
    <row r="31" spans="1:6" x14ac:dyDescent="0.3">
      <c r="A31" s="1">
        <v>46037</v>
      </c>
      <c r="B31" t="s">
        <v>18</v>
      </c>
      <c r="C31" t="s">
        <v>32</v>
      </c>
      <c r="D31" s="2">
        <v>1</v>
      </c>
      <c r="E31" s="2">
        <v>300</v>
      </c>
      <c r="F31" s="2">
        <f t="shared" si="0"/>
        <v>300</v>
      </c>
    </row>
    <row r="32" spans="1:6" x14ac:dyDescent="0.3">
      <c r="A32" s="1"/>
      <c r="F32" s="2">
        <f>SUBTOTAL(109,Table1[Total])</f>
        <v>86235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E18A-DD71-4A22-83E3-DAD5CAC8F449}">
  <dimension ref="A1:A6"/>
  <sheetViews>
    <sheetView workbookViewId="0">
      <selection activeCell="A13" sqref="A13"/>
    </sheetView>
  </sheetViews>
  <sheetFormatPr defaultRowHeight="14.4" x14ac:dyDescent="0.3"/>
  <cols>
    <col min="1" max="1" width="100.88671875" bestFit="1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s="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final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Sridharmoorthy</dc:creator>
  <cp:lastModifiedBy>Anugraha Sridharmoorthy</cp:lastModifiedBy>
  <dcterms:created xsi:type="dcterms:W3CDTF">2026-02-16T16:45:44Z</dcterms:created>
  <dcterms:modified xsi:type="dcterms:W3CDTF">2026-02-17T06:30:51Z</dcterms:modified>
</cp:coreProperties>
</file>